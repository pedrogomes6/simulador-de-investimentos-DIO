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\Documents\"/>
    </mc:Choice>
  </mc:AlternateContent>
  <xr:revisionPtr revIDLastSave="0" documentId="13_ncr:1_{DED38A21-6941-476B-9976-EF971061D34F}" xr6:coauthVersionLast="47" xr6:coauthVersionMax="47" xr10:uidLastSave="{00000000-0000-0000-0000-000000000000}"/>
  <bookViews>
    <workbookView xWindow="-120" yWindow="-120" windowWidth="20730" windowHeight="11160" tabRatio="0" xr2:uid="{D6B1637D-C433-4D0E-B8CE-C2CE8A5B7E05}"/>
  </bookViews>
  <sheets>
    <sheet name="Principal" sheetId="1" r:id="rId1"/>
    <sheet name="Apoio" sheetId="2" r:id="rId2"/>
  </sheets>
  <definedNames>
    <definedName name="aporte">Principal!$D$8</definedName>
    <definedName name="patrimonio">Principal!$D$11</definedName>
    <definedName name="qtd_anos">Principal!$D$9</definedName>
    <definedName name="rendimento_carteira">Principal!$D$4</definedName>
    <definedName name="salario">Principal!$D$3</definedName>
    <definedName name="sugestao_invest">Principal!$D$5</definedName>
    <definedName name="taxa_mensal">Principal!$D$10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C27" i="1"/>
  <c r="C28" i="1"/>
  <c r="C29" i="1"/>
  <c r="C30" i="1"/>
  <c r="C26" i="1"/>
  <c r="C25" i="1"/>
  <c r="H3" i="2"/>
  <c r="A16" i="2"/>
  <c r="A17" i="2"/>
  <c r="A18" i="2"/>
  <c r="A19" i="2"/>
  <c r="A20" i="2"/>
  <c r="A15" i="2"/>
  <c r="A10" i="2"/>
  <c r="A11" i="2"/>
  <c r="A12" i="2"/>
  <c r="A13" i="2"/>
  <c r="A14" i="2"/>
  <c r="A9" i="2"/>
  <c r="A4" i="2"/>
  <c r="A5" i="2"/>
  <c r="A6" i="2"/>
  <c r="A7" i="2"/>
  <c r="A8" i="2"/>
  <c r="A3" i="2"/>
  <c r="C22" i="1"/>
  <c r="D29" i="1" s="1"/>
  <c r="D11" i="1"/>
  <c r="D5" i="1"/>
  <c r="C19" i="1"/>
  <c r="D19" i="1" s="1"/>
  <c r="C18" i="1"/>
  <c r="D18" i="1" s="1"/>
  <c r="C17" i="1"/>
  <c r="D17" i="1" s="1"/>
  <c r="C16" i="1"/>
  <c r="D16" i="1" s="1"/>
  <c r="C15" i="1"/>
  <c r="D15" i="1" s="1"/>
  <c r="D28" i="1" l="1"/>
  <c r="D26" i="1"/>
  <c r="D27" i="1"/>
  <c r="D30" i="1"/>
  <c r="D25" i="1"/>
  <c r="D31" i="1"/>
</calcChain>
</file>

<file path=xl/sharedStrings.xml><?xml version="1.0" encoding="utf-8"?>
<sst xmlns="http://schemas.openxmlformats.org/spreadsheetml/2006/main" count="71" uniqueCount="35">
  <si>
    <t>INVESTIMENTO PESSOAL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</si>
  <si>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</si>
  <si>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</si>
  <si>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</si>
  <si>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</si>
  <si>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</si>
  <si>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</si>
  <si>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Quanto em 2 anos</t>
  </si>
  <si>
    <t>Quanto em 5 anos</t>
  </si>
  <si>
    <t>Quanto em10 anos</t>
  </si>
  <si>
    <t>Quanto em 30 anos</t>
  </si>
  <si>
    <t>Quanto em 20 anos</t>
  </si>
  <si>
    <t>Dividendo</t>
  </si>
  <si>
    <t>Rendimento de carteira</t>
  </si>
  <si>
    <t>Salário</t>
  </si>
  <si>
    <t>Sugestão de investimento</t>
  </si>
  <si>
    <t>CONFIGURAÇÕES</t>
  </si>
  <si>
    <t>Valor a ser investido mensalmente</t>
  </si>
  <si>
    <t>PERFIL</t>
  </si>
  <si>
    <t>TIPO DE FII</t>
  </si>
  <si>
    <t>Percentual sugerido</t>
  </si>
  <si>
    <t>Valores</t>
  </si>
  <si>
    <t>PAPEL</t>
  </si>
  <si>
    <t>TIJOLO</t>
  </si>
  <si>
    <t>HIBRIDOS</t>
  </si>
  <si>
    <t>FOFIS</t>
  </si>
  <si>
    <t>DESENVOLVIMENTO</t>
  </si>
  <si>
    <t>HOTELARIAS</t>
  </si>
  <si>
    <t>Conservador</t>
  </si>
  <si>
    <t>CONSERVADOR</t>
  </si>
  <si>
    <t>MODERADO</t>
  </si>
  <si>
    <t>AGRESSIVO</t>
  </si>
  <si>
    <t>%</t>
  </si>
  <si>
    <t>CHAVE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</si>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</sst>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0"/>
      <name val="Aptos Display"/>
      <family val="2"/>
    </font>
    <font>
      <sz val="12"/>
      <color theme="1"/>
      <name val="Aptos Display"/>
      <family val="2"/>
    </font>
    <font>
      <b/>
      <sz val="12"/>
      <color theme="1"/>
      <name val="Aptos Display"/>
      <family val="2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34998626667073579"/>
      </left>
      <right style="medium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indexed="64"/>
      </right>
      <top style="medium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 tint="-0.34998626667073579"/>
      </left>
      <right style="medium">
        <color indexed="64"/>
      </right>
      <top style="medium">
        <color indexed="64"/>
      </top>
      <bottom style="medium">
        <color theme="0" tint="-0.34998626667073579"/>
      </bottom>
      <diagonal/>
    </border>
    <border>
      <left style="medium">
        <color indexed="64"/>
      </left>
      <right style="medium">
        <color theme="0" tint="-0.34998626667073579"/>
      </right>
      <top style="medium">
        <color indexed="64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indexed="64"/>
      </top>
      <bottom style="medium">
        <color theme="0" tint="-0.34998626667073579"/>
      </bottom>
      <diagonal/>
    </border>
    <border>
      <left style="medium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2" fillId="2" borderId="8" xfId="0" applyFont="1" applyFill="1" applyBorder="1"/>
    <xf numFmtId="0" fontId="2" fillId="2" borderId="9" xfId="0" applyFont="1" applyFill="1" applyBorder="1"/>
    <xf numFmtId="9" fontId="0" fillId="0" borderId="0" xfId="0" applyNumberFormat="1"/>
    <xf numFmtId="164" fontId="4" fillId="0" borderId="19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0" fontId="4" fillId="0" borderId="2" xfId="0" applyNumberFormat="1" applyFont="1" applyBorder="1" applyAlignment="1">
      <alignment horizontal="center"/>
    </xf>
    <xf numFmtId="8" fontId="4" fillId="5" borderId="2" xfId="0" applyNumberFormat="1" applyFont="1" applyFill="1" applyBorder="1" applyAlignment="1">
      <alignment horizontal="center"/>
    </xf>
    <xf numFmtId="8" fontId="4" fillId="5" borderId="4" xfId="0" applyNumberFormat="1" applyFont="1" applyFill="1" applyBorder="1" applyAlignment="1">
      <alignment horizontal="center"/>
    </xf>
    <xf numFmtId="0" fontId="3" fillId="4" borderId="17" xfId="0" applyFont="1" applyFill="1" applyBorder="1"/>
    <xf numFmtId="8" fontId="3" fillId="4" borderId="18" xfId="0" applyNumberFormat="1" applyFont="1" applyFill="1" applyBorder="1"/>
    <xf numFmtId="8" fontId="3" fillId="4" borderId="19" xfId="0" applyNumberFormat="1" applyFont="1" applyFill="1" applyBorder="1" applyAlignment="1">
      <alignment horizontal="center"/>
    </xf>
    <xf numFmtId="0" fontId="3" fillId="4" borderId="1" xfId="0" applyFont="1" applyFill="1" applyBorder="1"/>
    <xf numFmtId="8" fontId="3" fillId="4" borderId="20" xfId="0" applyNumberFormat="1" applyFont="1" applyFill="1" applyBorder="1"/>
    <xf numFmtId="8" fontId="3" fillId="4" borderId="2" xfId="0" applyNumberFormat="1" applyFont="1" applyFill="1" applyBorder="1" applyAlignment="1">
      <alignment horizontal="center"/>
    </xf>
    <xf numFmtId="0" fontId="3" fillId="4" borderId="3" xfId="0" applyFont="1" applyFill="1" applyBorder="1"/>
    <xf numFmtId="8" fontId="3" fillId="4" borderId="21" xfId="0" applyNumberFormat="1" applyFont="1" applyFill="1" applyBorder="1"/>
    <xf numFmtId="8" fontId="3" fillId="4" borderId="4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5" borderId="20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4" fillId="5" borderId="3" xfId="0" applyFont="1" applyFill="1" applyBorder="1" applyAlignment="1">
      <alignment horizontal="left"/>
    </xf>
    <xf numFmtId="0" fontId="4" fillId="5" borderId="21" xfId="0" applyFont="1" applyFill="1" applyBorder="1" applyAlignment="1">
      <alignment horizontal="left"/>
    </xf>
    <xf numFmtId="0" fontId="3" fillId="4" borderId="12" xfId="0" applyFont="1" applyFill="1" applyBorder="1" applyAlignment="1">
      <alignment horizontal="left"/>
    </xf>
    <xf numFmtId="0" fontId="3" fillId="4" borderId="13" xfId="0" applyFont="1" applyFill="1" applyBorder="1" applyAlignment="1">
      <alignment horizontal="left"/>
    </xf>
    <xf numFmtId="0" fontId="3" fillId="4" borderId="14" xfId="0" applyFont="1" applyFill="1" applyBorder="1" applyAlignment="1">
      <alignment horizontal="left"/>
    </xf>
    <xf numFmtId="0" fontId="3" fillId="4" borderId="15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left"/>
    </xf>
    <xf numFmtId="0" fontId="3" fillId="4" borderId="16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3" fillId="4" borderId="0" xfId="0" applyFont="1" applyFill="1" applyBorder="1"/>
    <xf numFmtId="0" fontId="3" fillId="7" borderId="0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64" fontId="3" fillId="4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/>
    <xf numFmtId="0" fontId="6" fillId="8" borderId="0" xfId="0" applyFont="1" applyFill="1" applyAlignment="1">
      <alignment horizontal="center"/>
    </xf>
    <xf numFmtId="0" fontId="6" fillId="8" borderId="0" xfId="0" applyFont="1" applyFill="1"/>
    <xf numFmtId="164" fontId="6" fillId="8" borderId="0" xfId="0" applyNumberFormat="1" applyFont="1" applyFill="1"/>
    <xf numFmtId="9" fontId="5" fillId="6" borderId="0" xfId="1" applyNumberFormat="1" applyFont="1" applyFill="1" applyAlignment="1">
      <alignment horizontal="center"/>
    </xf>
    <xf numFmtId="164" fontId="3" fillId="0" borderId="11" xfId="1" applyNumberFormat="1" applyFont="1" applyBorder="1" applyAlignment="1">
      <alignment horizontal="center"/>
    </xf>
    <xf numFmtId="10" fontId="3" fillId="0" borderId="5" xfId="0" applyNumberFormat="1" applyFont="1" applyBorder="1" applyAlignment="1">
      <alignment horizontal="center"/>
    </xf>
    <xf numFmtId="164" fontId="3" fillId="4" borderId="6" xfId="0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276226</xdr:colOff>
      <xdr:row>0</xdr:row>
      <xdr:rowOff>85726</xdr:rowOff>
    </xdr:from>
    <xdr:to>
      <xdr:col>8</xdr:col>
      <xdr:colOff>19051</xdr:colOff>
      <xdr:row>0</xdr:row>
      <xdr:rowOff>876300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5F39079-8313-DCFB-7BCA-86D6EAA6DB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927"/>
        <a:stretch/>
      </xdr:blipFill>
      <xdr:spPr>
        <a:xfrm>
          <a:off x="276226" y="85726"/>
          <a:ext cx="5486400" cy="790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2D7F5-7269-44CC-AEF7-5D6FADF9621B}">
  <dimension ref="A1:XFC39"/>
  <sheetViews>
    <sheetView showGridLines="0" tabSelected="1" workbookViewId="0">
      <pane ySplit="1" topLeftCell="A2" activePane="bottomLeft" state="frozen"/>
      <selection pane="bottomLeft" activeCell="D15" sqref="D15"/>
    </sheetView>
  </sheetViews>
  <sheetFormatPr defaultColWidth="9.140625" defaultRowHeight="15" x14ac:dyDescent="0.25"/>
  <cols>
    <col min="1" max="1" width="4.28515625" customWidth="1"/>
    <col min="2" max="2" width="44.85546875" customWidth="1"/>
    <col min="3" max="3" width="19.42578125" customWidth="1"/>
    <col min="4" max="4" width="17.5703125" bestFit="1" customWidth="1"/>
    <col min="5" max="5" width="24.42578125" hidden="1" customWidth="1"/>
    <col min="6" max="6" width="14.7109375" hidden="1" customWidth="1"/>
    <col min="7" max="7" width="1.85546875" hidden="1" customWidth="1"/>
    <col min="8" max="8" width="7.7109375" hidden="1" customWidth="1"/>
    <col min="9" max="9" width="3.28515625" customWidth="1"/>
    <col min="10" max="16383" width="0" hidden="1" customWidth="1"/>
    <col min="16384" max="16384" width="9.140625" hidden="1" customWidth="1"/>
  </cols>
  <sheetData>
    <row r="1" spans="2:6" ht="72.75" customHeight="1" thickBot="1" x14ac:dyDescent="0.3"/>
    <row r="2" spans="2:6" ht="27" thickBot="1" x14ac:dyDescent="0.45">
      <c r="B2" s="30" t="s">
        <v>16</v>
      </c>
      <c r="C2" s="31"/>
      <c r="D2" s="32"/>
    </row>
    <row r="3" spans="2:6" ht="16.5" thickBot="1" x14ac:dyDescent="0.3">
      <c r="B3" s="24" t="s">
        <v>14</v>
      </c>
      <c r="C3" s="25"/>
      <c r="D3" s="50">
        <v>2000</v>
      </c>
    </row>
    <row r="4" spans="2:6" ht="16.5" thickBot="1" x14ac:dyDescent="0.3">
      <c r="B4" s="26" t="s">
        <v>13</v>
      </c>
      <c r="C4" s="27"/>
      <c r="D4" s="51">
        <v>0.6</v>
      </c>
    </row>
    <row r="5" spans="2:6" ht="16.5" thickBot="1" x14ac:dyDescent="0.3">
      <c r="B5" s="28" t="s">
        <v>15</v>
      </c>
      <c r="C5" s="29"/>
      <c r="D5" s="52">
        <f>salario*30%</f>
        <v>600</v>
      </c>
    </row>
    <row r="6" spans="2:6" ht="6.75" customHeight="1" thickBot="1" x14ac:dyDescent="0.3"/>
    <row r="7" spans="2:6" ht="27" thickBot="1" x14ac:dyDescent="0.45">
      <c r="B7" s="35" t="s">
        <v>0</v>
      </c>
      <c r="C7" s="36"/>
      <c r="D7" s="37"/>
    </row>
    <row r="8" spans="2:6" ht="16.5" thickBot="1" x14ac:dyDescent="0.3">
      <c r="B8" s="33" t="s">
        <v>1</v>
      </c>
      <c r="C8" s="34"/>
      <c r="D8" s="4">
        <v>200</v>
      </c>
    </row>
    <row r="9" spans="2:6" ht="16.5" thickBot="1" x14ac:dyDescent="0.3">
      <c r="B9" s="20" t="s">
        <v>2</v>
      </c>
      <c r="C9" s="21"/>
      <c r="D9" s="5">
        <v>5</v>
      </c>
    </row>
    <row r="10" spans="2:6" ht="16.5" thickBot="1" x14ac:dyDescent="0.3">
      <c r="B10" s="20" t="s">
        <v>3</v>
      </c>
      <c r="C10" s="21"/>
      <c r="D10" s="6">
        <v>1.0789999999999999E-2</v>
      </c>
    </row>
    <row r="11" spans="2:6" ht="16.5" thickBot="1" x14ac:dyDescent="0.3">
      <c r="B11" s="18" t="s">
        <v>4</v>
      </c>
      <c r="C11" s="19"/>
      <c r="D11" s="7">
        <f>FV(taxa_mensal,qtd_anos*12,aporte*-1)</f>
        <v>16755.382799697527</v>
      </c>
    </row>
    <row r="12" spans="2:6" ht="16.5" thickBot="1" x14ac:dyDescent="0.3">
      <c r="B12" s="22" t="s">
        <v>5</v>
      </c>
      <c r="C12" s="23"/>
      <c r="D12" s="8">
        <f>patrimonio*taxa_mensal</f>
        <v>180.7905804087363</v>
      </c>
      <c r="F12" s="3"/>
    </row>
    <row r="13" spans="2:6" ht="6" customHeight="1" thickBot="1" x14ac:dyDescent="0.3"/>
    <row r="14" spans="2:6" ht="27" thickBot="1" x14ac:dyDescent="0.45">
      <c r="B14" s="1" t="s">
        <v>6</v>
      </c>
      <c r="C14" s="2"/>
      <c r="D14" s="2" t="s">
        <v>12</v>
      </c>
    </row>
    <row r="15" spans="2:6" ht="16.5" thickBot="1" x14ac:dyDescent="0.3">
      <c r="B15" s="9" t="s">
        <v>7</v>
      </c>
      <c r="C15" s="10">
        <f>FV($D$10,2*12,$D$8*-1)</f>
        <v>5445.5254595290435</v>
      </c>
      <c r="D15" s="11">
        <f>C15*rendimento_carteira</f>
        <v>3267.3152757174262</v>
      </c>
    </row>
    <row r="16" spans="2:6" ht="16.5" thickBot="1" x14ac:dyDescent="0.3">
      <c r="B16" s="12" t="s">
        <v>8</v>
      </c>
      <c r="C16" s="13">
        <f>FV($D$10,5*12,$D$8*-1)</f>
        <v>16755.382799697527</v>
      </c>
      <c r="D16" s="14">
        <f>C16*rendimento_carteira</f>
        <v>10053.229679818516</v>
      </c>
    </row>
    <row r="17" spans="2:4" ht="16.5" thickBot="1" x14ac:dyDescent="0.3">
      <c r="B17" s="12" t="s">
        <v>9</v>
      </c>
      <c r="C17" s="13">
        <f>FV($D$10,10*12,$D$8*-1)</f>
        <v>48656.842506034438</v>
      </c>
      <c r="D17" s="14">
        <f>C17*rendimento_carteira</f>
        <v>29194.105503620664</v>
      </c>
    </row>
    <row r="18" spans="2:4" ht="16.5" thickBot="1" x14ac:dyDescent="0.3">
      <c r="B18" s="12" t="s">
        <v>11</v>
      </c>
      <c r="C18" s="13">
        <f>FV($D$10,20*12,$D$8*-1)</f>
        <v>225039.68001941612</v>
      </c>
      <c r="D18" s="14">
        <f>C18*rendimento_carteira</f>
        <v>135023.80801164967</v>
      </c>
    </row>
    <row r="19" spans="2:4" ht="16.5" thickBot="1" x14ac:dyDescent="0.3">
      <c r="B19" s="15" t="s">
        <v>10</v>
      </c>
      <c r="C19" s="16">
        <f>FV($D$10,30*12,$D$8*-1)</f>
        <v>864433.93100094295</v>
      </c>
      <c r="D19" s="17">
        <f>C19*rendimento_carteira</f>
        <v>518660.35860056576</v>
      </c>
    </row>
    <row r="21" spans="2:4" ht="15.75" x14ac:dyDescent="0.25">
      <c r="B21" s="39" t="s">
        <v>18</v>
      </c>
      <c r="C21" s="41" t="s">
        <v>28</v>
      </c>
      <c r="D21" s="40"/>
    </row>
    <row r="22" spans="2:4" ht="15.75" x14ac:dyDescent="0.25">
      <c r="B22" s="38" t="s">
        <v>17</v>
      </c>
      <c r="C22" s="42">
        <f>aporte</f>
        <v>200</v>
      </c>
      <c r="D22" s="38"/>
    </row>
    <row r="24" spans="2:4" x14ac:dyDescent="0.25">
      <c r="B24" s="46" t="s">
        <v>19</v>
      </c>
      <c r="C24" s="46" t="s">
        <v>20</v>
      </c>
      <c r="D24" s="46" t="s">
        <v>21</v>
      </c>
    </row>
    <row r="25" spans="2:4" x14ac:dyDescent="0.25">
      <c r="B25" s="43" t="s">
        <v>22</v>
      </c>
      <c r="C25" s="44">
        <f>VLOOKUP($C$21&amp;"-"&amp;B25,Apoio!$A:$D,4,FALSE)</f>
        <v>0.3</v>
      </c>
      <c r="D25" s="45">
        <f>C22*C25</f>
        <v>60</v>
      </c>
    </row>
    <row r="26" spans="2:4" x14ac:dyDescent="0.25">
      <c r="B26" s="43" t="s">
        <v>23</v>
      </c>
      <c r="C26" s="44">
        <f>VLOOKUP($C$21&amp;"-"&amp;B26,Apoio!$A:$D,4,FALSE)</f>
        <v>0.5</v>
      </c>
      <c r="D26" s="45">
        <f>C22*C26</f>
        <v>100</v>
      </c>
    </row>
    <row r="27" spans="2:4" x14ac:dyDescent="0.25">
      <c r="B27" s="43" t="s">
        <v>24</v>
      </c>
      <c r="C27" s="44">
        <f>VLOOKUP($C$21&amp;"-"&amp;B27,Apoio!$A:$D,4,FALSE)</f>
        <v>0.1</v>
      </c>
      <c r="D27" s="45">
        <f>C22*C27</f>
        <v>20</v>
      </c>
    </row>
    <row r="28" spans="2:4" x14ac:dyDescent="0.25">
      <c r="B28" s="43" t="s">
        <v>25</v>
      </c>
      <c r="C28" s="44">
        <f>VLOOKUP($C$21&amp;"-"&amp;B28,Apoio!$A:$D,4,FALSE)</f>
        <v>0.1</v>
      </c>
      <c r="D28" s="45">
        <f>C22*C28</f>
        <v>20</v>
      </c>
    </row>
    <row r="29" spans="2:4" x14ac:dyDescent="0.25">
      <c r="B29" s="43" t="s">
        <v>26</v>
      </c>
      <c r="C29" s="44">
        <f>VLOOKUP($C$21&amp;"-"&amp;B29,Apoio!$A:$D,4,FALSE)</f>
        <v>0</v>
      </c>
      <c r="D29" s="45">
        <f>C22*C29</f>
        <v>0</v>
      </c>
    </row>
    <row r="30" spans="2:4" x14ac:dyDescent="0.25">
      <c r="B30" s="43" t="s">
        <v>27</v>
      </c>
      <c r="C30" s="44">
        <f>VLOOKUP($C$21&amp;"-"&amp;B30,Apoio!$A:$D,4,FALSE)</f>
        <v>0</v>
      </c>
      <c r="D30" s="45">
        <f>C22*C30</f>
        <v>0</v>
      </c>
    </row>
    <row r="31" spans="2:4" x14ac:dyDescent="0.25">
      <c r="B31" s="47"/>
      <c r="C31" s="47"/>
      <c r="D31" s="48">
        <f>SUM(D25:D30)</f>
        <v>200</v>
      </c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</sheetData>
  <mergeCells count="10">
    <mergeCell ref="B2:D2"/>
    <mergeCell ref="B8:C8"/>
    <mergeCell ref="B7:D7"/>
    <mergeCell ref="B11:C11"/>
    <mergeCell ref="B10:C10"/>
    <mergeCell ref="B12:C12"/>
    <mergeCell ref="B3:C3"/>
    <mergeCell ref="B4:C4"/>
    <mergeCell ref="B5:C5"/>
    <mergeCell ref="B9:C9"/>
  </mergeCells>
  <dataValidations disablePrompts="1" count="1">
    <dataValidation type="list" allowBlank="1" showInputMessage="1" showErrorMessage="1" sqref="C21" xr:uid="{B4D0A66B-9946-4EA0-AFF6-A4F22917711F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8B08-D31D-42E9-819B-5AFAF075DC98}">
  <dimension ref="A2:H20"/>
  <sheetViews>
    <sheetView workbookViewId="0">
      <selection activeCell="D12" sqref="D12"/>
    </sheetView>
  </sheetViews>
  <sheetFormatPr defaultRowHeight="15" x14ac:dyDescent="0.25"/>
  <cols>
    <col min="1" max="1" width="35.28515625" customWidth="1"/>
    <col min="2" max="2" width="14.7109375" bestFit="1" customWidth="1"/>
    <col min="3" max="3" width="19" bestFit="1" customWidth="1"/>
    <col min="7" max="7" width="19.42578125" bestFit="1" customWidth="1"/>
    <col min="8" max="8" width="11.85546875" customWidth="1"/>
  </cols>
  <sheetData>
    <row r="2" spans="1:8" x14ac:dyDescent="0.25">
      <c r="A2" s="43" t="s">
        <v>33</v>
      </c>
      <c r="B2" t="s">
        <v>18</v>
      </c>
      <c r="C2" s="43" t="s">
        <v>19</v>
      </c>
      <c r="D2" s="43" t="s">
        <v>32</v>
      </c>
      <c r="H2" t="s">
        <v>32</v>
      </c>
    </row>
    <row r="3" spans="1:8" x14ac:dyDescent="0.25">
      <c r="A3" t="str">
        <f>$B$3&amp;"-"&amp;C3</f>
        <v>CONSERVADOR-PAPEL</v>
      </c>
      <c r="B3" t="s">
        <v>29</v>
      </c>
      <c r="C3" s="43" t="s">
        <v>22</v>
      </c>
      <c r="D3" s="44">
        <v>0.3</v>
      </c>
      <c r="G3" t="s">
        <v>34</v>
      </c>
      <c r="H3" s="49" t="str">
        <f>VLOOKUP(A10,$A:$D,2,FALSE)</f>
        <v>MODERADO</v>
      </c>
    </row>
    <row r="4" spans="1:8" x14ac:dyDescent="0.25">
      <c r="A4" t="str">
        <f t="shared" ref="A4:A9" si="0">$B$3&amp;"-"&amp;C4</f>
        <v>CONSERVADOR-TIJOLO</v>
      </c>
      <c r="B4" t="s">
        <v>29</v>
      </c>
      <c r="C4" s="43" t="s">
        <v>23</v>
      </c>
      <c r="D4" s="44">
        <v>0.5</v>
      </c>
    </row>
    <row r="5" spans="1:8" x14ac:dyDescent="0.25">
      <c r="A5" t="str">
        <f t="shared" si="0"/>
        <v>CONSERVADOR-HIBRIDOS</v>
      </c>
      <c r="B5" t="s">
        <v>29</v>
      </c>
      <c r="C5" s="43" t="s">
        <v>24</v>
      </c>
      <c r="D5" s="44">
        <v>0.1</v>
      </c>
    </row>
    <row r="6" spans="1:8" x14ac:dyDescent="0.25">
      <c r="A6" t="str">
        <f t="shared" si="0"/>
        <v>CONSERVADOR-FOFIS</v>
      </c>
      <c r="B6" t="s">
        <v>29</v>
      </c>
      <c r="C6" s="43" t="s">
        <v>25</v>
      </c>
      <c r="D6" s="44">
        <v>0.1</v>
      </c>
    </row>
    <row r="7" spans="1:8" x14ac:dyDescent="0.25">
      <c r="A7" t="str">
        <f t="shared" si="0"/>
        <v>CONSERVADOR-DESENVOLVIMENTO</v>
      </c>
      <c r="B7" t="s">
        <v>29</v>
      </c>
      <c r="C7" s="43" t="s">
        <v>26</v>
      </c>
      <c r="D7" s="44">
        <v>0</v>
      </c>
    </row>
    <row r="8" spans="1:8" x14ac:dyDescent="0.25">
      <c r="A8" t="str">
        <f t="shared" si="0"/>
        <v>CONSERVADOR-HOTELARIAS</v>
      </c>
      <c r="B8" t="s">
        <v>29</v>
      </c>
      <c r="C8" s="43" t="s">
        <v>27</v>
      </c>
      <c r="D8" s="44">
        <v>0</v>
      </c>
    </row>
    <row r="9" spans="1:8" x14ac:dyDescent="0.25">
      <c r="A9" t="str">
        <f>$B$9&amp;"-"&amp;C9</f>
        <v>MODERADO-PAPEL</v>
      </c>
      <c r="B9" t="s">
        <v>30</v>
      </c>
      <c r="C9" s="43" t="s">
        <v>22</v>
      </c>
      <c r="D9" s="44">
        <v>0.32</v>
      </c>
    </row>
    <row r="10" spans="1:8" x14ac:dyDescent="0.25">
      <c r="A10" t="str">
        <f t="shared" ref="A10:A14" si="1">$B$9&amp;"-"&amp;C10</f>
        <v>MODERADO-TIJOLO</v>
      </c>
      <c r="B10" t="s">
        <v>30</v>
      </c>
      <c r="C10" s="43" t="s">
        <v>23</v>
      </c>
      <c r="D10" s="44">
        <v>0.35</v>
      </c>
    </row>
    <row r="11" spans="1:8" x14ac:dyDescent="0.25">
      <c r="A11" t="str">
        <f t="shared" si="1"/>
        <v>MODERADO-HIBRIDOS</v>
      </c>
      <c r="B11" t="s">
        <v>30</v>
      </c>
      <c r="C11" s="43" t="s">
        <v>24</v>
      </c>
      <c r="D11" s="44">
        <v>0.08</v>
      </c>
    </row>
    <row r="12" spans="1:8" x14ac:dyDescent="0.25">
      <c r="A12" t="str">
        <f t="shared" si="1"/>
        <v>MODERADO-FOFIS</v>
      </c>
      <c r="B12" t="s">
        <v>30</v>
      </c>
      <c r="C12" s="43" t="s">
        <v>25</v>
      </c>
      <c r="D12" s="44">
        <v>0.05</v>
      </c>
    </row>
    <row r="13" spans="1:8" x14ac:dyDescent="0.25">
      <c r="A13" t="str">
        <f t="shared" si="1"/>
        <v>MODERADO-DESENVOLVIMENTO</v>
      </c>
      <c r="B13" t="s">
        <v>30</v>
      </c>
      <c r="C13" s="43" t="s">
        <v>26</v>
      </c>
      <c r="D13" s="44">
        <v>0.1</v>
      </c>
    </row>
    <row r="14" spans="1:8" x14ac:dyDescent="0.25">
      <c r="A14" t="str">
        <f t="shared" si="1"/>
        <v>MODERADO-HOTELARIAS</v>
      </c>
      <c r="B14" t="s">
        <v>30</v>
      </c>
      <c r="C14" s="43" t="s">
        <v>27</v>
      </c>
      <c r="D14" s="44">
        <v>0.1</v>
      </c>
    </row>
    <row r="15" spans="1:8" x14ac:dyDescent="0.25">
      <c r="A15" t="str">
        <f>$B$15&amp;"-"&amp;C15</f>
        <v>AGRESSIVO-PAPEL</v>
      </c>
      <c r="B15" t="s">
        <v>31</v>
      </c>
      <c r="C15" s="43" t="s">
        <v>22</v>
      </c>
      <c r="D15" s="44">
        <v>0.5</v>
      </c>
    </row>
    <row r="16" spans="1:8" x14ac:dyDescent="0.25">
      <c r="A16" t="str">
        <f t="shared" ref="A16:A20" si="2">$B$15&amp;"-"&amp;C16</f>
        <v>AGRESSIVO-TIJOLO</v>
      </c>
      <c r="B16" t="s">
        <v>31</v>
      </c>
      <c r="C16" s="43" t="s">
        <v>23</v>
      </c>
      <c r="D16" s="44">
        <v>0.1</v>
      </c>
    </row>
    <row r="17" spans="1:4" x14ac:dyDescent="0.25">
      <c r="A17" t="str">
        <f t="shared" si="2"/>
        <v>AGRESSIVO-HIBRIDOS</v>
      </c>
      <c r="B17" t="s">
        <v>31</v>
      </c>
      <c r="C17" s="43" t="s">
        <v>24</v>
      </c>
      <c r="D17" s="44">
        <v>0.05</v>
      </c>
    </row>
    <row r="18" spans="1:4" x14ac:dyDescent="0.25">
      <c r="A18" t="str">
        <f t="shared" si="2"/>
        <v>AGRESSIVO-FOFIS</v>
      </c>
      <c r="B18" t="s">
        <v>31</v>
      </c>
      <c r="C18" s="43" t="s">
        <v>25</v>
      </c>
      <c r="D18" s="44">
        <v>0.05</v>
      </c>
    </row>
    <row r="19" spans="1:4" x14ac:dyDescent="0.25">
      <c r="A19" t="str">
        <f t="shared" si="2"/>
        <v>AGRESSIVO-DESENVOLVIMENTO</v>
      </c>
      <c r="B19" t="s">
        <v>31</v>
      </c>
      <c r="C19" s="43" t="s">
        <v>26</v>
      </c>
      <c r="D19" s="44">
        <v>0.2</v>
      </c>
    </row>
    <row r="20" spans="1:4" x14ac:dyDescent="0.25">
      <c r="A20" t="str">
        <f t="shared" si="2"/>
        <v>AGRESSIVO-HOTELARIAS</v>
      </c>
      <c r="B20" t="s">
        <v>31</v>
      </c>
      <c r="C20" s="43" t="s">
        <v>27</v>
      </c>
      <c r="D20" s="4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Principal</vt:lpstr>
      <vt:lpstr>Apoio</vt:lpstr>
      <vt:lpstr>aporte</vt:lpstr>
      <vt:lpstr>patrimonio</vt:lpstr>
      <vt:lpstr>qtd_anos</vt:lpstr>
      <vt:lpstr>rendimento_carteira</vt:lpstr>
      <vt:lpstr>salario</vt:lpstr>
      <vt:lpstr>sugestao_invest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Gomes</dc:creator>
  <cp:lastModifiedBy>Pedro Gomes</cp:lastModifiedBy>
  <dcterms:created xsi:type="dcterms:W3CDTF">2025-11-07T12:41:36Z</dcterms:created>
  <dcterms:modified xsi:type="dcterms:W3CDTF">2025-11-08T14:26:16Z</dcterms:modified>
</cp:coreProperties>
</file>